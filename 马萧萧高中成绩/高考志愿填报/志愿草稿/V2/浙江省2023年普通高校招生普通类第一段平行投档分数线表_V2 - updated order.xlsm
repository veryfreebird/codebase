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showInkAnnotation="0" checkCompatibility="1"/>
  <mc:AlternateContent xmlns:mc="http://schemas.openxmlformats.org/markup-compatibility/2006">
    <mc:Choice Requires="x15">
      <x15ac:absPath xmlns:x15ac="http://schemas.microsoft.com/office/spreadsheetml/2010/11/ac" url="C:\james_home\local_src\codebase\马萧萧高中成绩\高考志愿填报\志愿草稿\V2\"/>
    </mc:Choice>
  </mc:AlternateContent>
  <xr:revisionPtr revIDLastSave="0" documentId="13_ncr:1_{C7FA4828-3059-468F-8A98-75E342514DF7}" xr6:coauthVersionLast="47" xr6:coauthVersionMax="47" xr10:uidLastSave="{00000000-0000-0000-0000-000000000000}"/>
  <bookViews>
    <workbookView xWindow="22170" yWindow="-21840" windowWidth="38640" windowHeight="21120" xr2:uid="{00000000-000D-0000-FFFF-FFFF00000000}"/>
  </bookViews>
  <sheets>
    <sheet name="Sheet1" sheetId="7" r:id="rId1"/>
  </sheets>
  <definedNames>
    <definedName name="_xlnm._FilterDatabase" localSheetId="0" hidden="1">Sheet1!$A$1:$I$1</definedName>
    <definedName name="_xlnm.Databas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7" l="1"/>
  <c r="K4" i="7"/>
  <c r="K5" i="7"/>
  <c r="K9" i="7"/>
  <c r="K6" i="7"/>
  <c r="K7" i="7"/>
  <c r="K8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J3" i="7"/>
  <c r="J4" i="7"/>
  <c r="J5" i="7"/>
  <c r="J9" i="7"/>
  <c r="J6" i="7"/>
  <c r="J7" i="7"/>
  <c r="J8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K2" i="7"/>
  <c r="J2" i="7"/>
</calcChain>
</file>

<file path=xl/sharedStrings.xml><?xml version="1.0" encoding="utf-8"?>
<sst xmlns="http://schemas.openxmlformats.org/spreadsheetml/2006/main" count="217" uniqueCount="101">
  <si>
    <t>学校代号</t>
  </si>
  <si>
    <t>学校名称</t>
  </si>
  <si>
    <t>专业代号</t>
  </si>
  <si>
    <t>专业名称</t>
  </si>
  <si>
    <t>计划数</t>
  </si>
  <si>
    <t>分数线</t>
  </si>
  <si>
    <t>位次</t>
  </si>
  <si>
    <t>002</t>
  </si>
  <si>
    <t>新闻传播学类</t>
  </si>
  <si>
    <t>003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</si>
  <si>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</si>
  <si>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</si>
  <si>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</si>
  <si>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</si>
  <si>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</si>
  <si>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</si>
  <si>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</si>
  <si>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</si>
  <si>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</si>
  <si>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</si>
  <si>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</si>
  <si>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</si>
  <si>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</si>
  <si>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</si>
  <si>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</si>
  <si>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工业设计</t>
  </si>
  <si>
    <t>0003</t>
  </si>
  <si>
    <t>浙江工业大学</t>
  </si>
  <si>
    <t>004</t>
  </si>
  <si>
    <t>005</t>
  </si>
  <si>
    <t>生物工程类</t>
  </si>
  <si>
    <t>材料类</t>
  </si>
  <si>
    <t>机械类</t>
  </si>
  <si>
    <t>机器人工程</t>
  </si>
  <si>
    <t>电气类</t>
  </si>
  <si>
    <t>电子信息类</t>
  </si>
  <si>
    <t>计算机类</t>
  </si>
  <si>
    <t>计算机科学与技术(基础拔尖基地班)</t>
  </si>
  <si>
    <t>数据科学与大数据技术</t>
  </si>
  <si>
    <t>022</t>
  </si>
  <si>
    <t>023</t>
  </si>
  <si>
    <t>025</t>
  </si>
  <si>
    <t>工商管理类</t>
  </si>
  <si>
    <t>026</t>
  </si>
  <si>
    <t>管理科学与工程类</t>
  </si>
  <si>
    <t>027</t>
  </si>
  <si>
    <t>国际经济与贸易</t>
  </si>
  <si>
    <t>035</t>
  </si>
  <si>
    <t>037</t>
  </si>
  <si>
    <t>045</t>
  </si>
  <si>
    <t>0005</t>
  </si>
  <si>
    <t>宁波大学</t>
  </si>
  <si>
    <t>临床医学(拔尖人才创新班)</t>
  </si>
  <si>
    <t>计算机科学与技术</t>
  </si>
  <si>
    <t>临床医学</t>
  </si>
  <si>
    <t>口腔医学</t>
  </si>
  <si>
    <t>通信工程(拔尖人才创新班)</t>
  </si>
  <si>
    <t>环境工程</t>
  </si>
  <si>
    <t>0006</t>
  </si>
  <si>
    <t>杭州电子科技大学</t>
  </si>
  <si>
    <t>智能科学与技术</t>
  </si>
  <si>
    <t>电子信息类(电子信息学院)</t>
  </si>
  <si>
    <t>集成电路设计与集成系统</t>
  </si>
  <si>
    <t>数字媒体技术</t>
  </si>
  <si>
    <t>网络工程</t>
  </si>
  <si>
    <t>电子信息类(通信学院)</t>
  </si>
  <si>
    <t>网络空间安全</t>
  </si>
  <si>
    <t>人工智能</t>
  </si>
  <si>
    <t>0009</t>
  </si>
  <si>
    <t>温州医科大学</t>
  </si>
  <si>
    <t>儿科学</t>
  </si>
  <si>
    <t>医学影像学</t>
  </si>
  <si>
    <t>麻醉学</t>
  </si>
  <si>
    <t>放射医学</t>
  </si>
  <si>
    <t>生物技术</t>
  </si>
  <si>
    <t>1117</t>
  </si>
  <si>
    <t>北京化工大学</t>
  </si>
  <si>
    <t>自动化类(高端装备与智能制造)</t>
  </si>
  <si>
    <t>1121</t>
  </si>
  <si>
    <t>北京交通大学</t>
  </si>
  <si>
    <t>机械类(智能制造与智能装备)</t>
  </si>
  <si>
    <t>经济管理试验班</t>
  </si>
  <si>
    <t>1123</t>
  </si>
  <si>
    <t>北京科技大学</t>
  </si>
  <si>
    <t>理科试验班</t>
  </si>
  <si>
    <t>能源动力类(能源、环境专业)</t>
  </si>
  <si>
    <t>3101</t>
  </si>
  <si>
    <t>东华大学</t>
  </si>
  <si>
    <t>3104</t>
  </si>
  <si>
    <t>华东理工大学</t>
  </si>
  <si>
    <t>工科试验班(生物医药)</t>
  </si>
  <si>
    <t>工科试验班(智慧化工)</t>
  </si>
  <si>
    <t>机械类(机械智能化实验班)</t>
  </si>
  <si>
    <t>风景园林(景观建筑规划方向)</t>
  </si>
  <si>
    <t>3112</t>
  </si>
  <si>
    <t>上海大学</t>
  </si>
  <si>
    <t>3165</t>
  </si>
  <si>
    <t>同济大学</t>
  </si>
  <si>
    <t>工科试验班(智慧建造与低碳环境类)</t>
  </si>
  <si>
    <t>眼视光医学（新医科班）</t>
  </si>
  <si>
    <t>临床医学（新医科交大医学班）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</si>
</sst>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charset val="134"/>
      <scheme val="minor"/>
    </font>
    <font>
      <sz val="10"/>
      <name val="宋体"/>
      <charset val="134"/>
    </font>
    <font>
      <strike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1" fontId="0" fillId="0" borderId="0" xfId="0" applyNumberFormat="1">
      <alignment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>
      <alignment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>
      <alignment vertical="center"/>
    </xf>
    <xf numFmtId="1" fontId="0" fillId="2" borderId="1" xfId="0" applyNumberForma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1" fontId="0" fillId="0" borderId="0" xfId="0" applyNumberFormat="1" applyBorder="1">
      <alignment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>
      <alignment vertical="center"/>
    </xf>
    <xf numFmtId="1" fontId="2" fillId="4" borderId="1" xfId="0" applyNumberFormat="1" applyFont="1" applyFill="1" applyBorder="1" applyAlignment="1">
      <alignment horizontal="center" vertical="center"/>
    </xf>
    <xf numFmtId="1" fontId="2" fillId="0" borderId="0" xfId="0" applyNumberFormat="1" applyFont="1">
      <alignment vertical="center"/>
    </xf>
    <xf numFmtId="0" fontId="2" fillId="0" borderId="0" xfId="0" applyFont="1">
      <alignment vertical="center"/>
    </xf>
  </cellXfs>
  <cellStyles count="1">
    <cellStyle name="Normal" xfId="0" builtinId="0"/>
  </cellStyles>
  <dxfs count="2"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3482E-C342-4959-B880-BB19789804F0}">
  <dimension ref="A1:L54"/>
  <sheetViews>
    <sheetView tabSelected="1" workbookViewId="0">
      <selection activeCell="A51" sqref="A51:XFD51"/>
    </sheetView>
  </sheetViews>
  <sheetFormatPr defaultRowHeight="14.4"/>
  <cols>
    <col min="1" max="1" width="13" bestFit="1" customWidth="1"/>
    <col min="2" max="2" width="13.5546875" bestFit="1" customWidth="1"/>
    <col min="3" max="3" width="13" bestFit="1" customWidth="1"/>
    <col min="4" max="4" width="34.44140625" bestFit="1" customWidth="1"/>
    <col min="5" max="6" width="11.109375" bestFit="1" customWidth="1"/>
    <col min="7" max="7" width="9.21875" bestFit="1" customWidth="1"/>
    <col min="8" max="8" width="8.21875" customWidth="1"/>
    <col min="12" max="12" width="7" bestFit="1" customWidth="1"/>
  </cols>
  <sheetData>
    <row r="1" spans="1:12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11"/>
      <c r="I1" s="11"/>
      <c r="L1">
        <v>123456</v>
      </c>
    </row>
    <row r="2" spans="1:12">
      <c r="A2" s="6" t="s">
        <v>96</v>
      </c>
      <c r="B2" s="7" t="s">
        <v>97</v>
      </c>
      <c r="C2" s="6" t="s">
        <v>29</v>
      </c>
      <c r="D2" s="7" t="s">
        <v>98</v>
      </c>
      <c r="E2" s="6">
        <v>16</v>
      </c>
      <c r="F2" s="6">
        <v>666</v>
      </c>
      <c r="G2" s="6">
        <v>5666</v>
      </c>
      <c r="H2" s="6">
        <v>1</v>
      </c>
      <c r="I2" s="6">
        <v>1</v>
      </c>
      <c r="J2" s="1">
        <f>F2-641</f>
        <v>25</v>
      </c>
      <c r="K2" s="1">
        <f>G2-17495</f>
        <v>-11829</v>
      </c>
    </row>
    <row r="3" spans="1:12">
      <c r="A3" s="6" t="s">
        <v>86</v>
      </c>
      <c r="B3" s="7" t="s">
        <v>87</v>
      </c>
      <c r="C3" s="6" t="s">
        <v>39</v>
      </c>
      <c r="D3" s="7" t="s">
        <v>36</v>
      </c>
      <c r="E3" s="6">
        <v>12</v>
      </c>
      <c r="F3" s="6">
        <v>654</v>
      </c>
      <c r="G3" s="6">
        <v>10630</v>
      </c>
      <c r="H3" s="6">
        <v>1</v>
      </c>
      <c r="I3" s="6">
        <v>2</v>
      </c>
      <c r="J3" s="1">
        <f t="shared" ref="J3:J54" si="0">F3-641</f>
        <v>13</v>
      </c>
      <c r="K3" s="1">
        <f t="shared" ref="K3:K54" si="1">G3-17495</f>
        <v>-6865</v>
      </c>
    </row>
    <row r="4" spans="1:12">
      <c r="A4" s="6" t="s">
        <v>94</v>
      </c>
      <c r="B4" s="7" t="s">
        <v>95</v>
      </c>
      <c r="C4" s="6" t="s">
        <v>15</v>
      </c>
      <c r="D4" s="7" t="s">
        <v>34</v>
      </c>
      <c r="E4" s="6">
        <v>7</v>
      </c>
      <c r="F4" s="6">
        <v>654</v>
      </c>
      <c r="G4" s="10">
        <v>10670</v>
      </c>
      <c r="H4" s="6">
        <v>1</v>
      </c>
      <c r="I4" s="6">
        <v>3</v>
      </c>
      <c r="J4" s="1">
        <f t="shared" si="0"/>
        <v>13</v>
      </c>
      <c r="K4" s="1">
        <f t="shared" si="1"/>
        <v>-6825</v>
      </c>
    </row>
    <row r="5" spans="1:12">
      <c r="A5" s="6" t="s">
        <v>86</v>
      </c>
      <c r="B5" s="7" t="s">
        <v>87</v>
      </c>
      <c r="C5" s="6" t="s">
        <v>45</v>
      </c>
      <c r="D5" s="7" t="s">
        <v>67</v>
      </c>
      <c r="E5" s="6">
        <v>4</v>
      </c>
      <c r="F5" s="6">
        <v>653</v>
      </c>
      <c r="G5" s="6">
        <v>11055</v>
      </c>
      <c r="H5" s="6">
        <v>1</v>
      </c>
      <c r="I5" s="6">
        <v>4</v>
      </c>
      <c r="J5" s="1">
        <f t="shared" si="0"/>
        <v>12</v>
      </c>
      <c r="K5" s="1">
        <f t="shared" si="1"/>
        <v>-6440</v>
      </c>
    </row>
    <row r="6" spans="1:12">
      <c r="A6" s="6" t="s">
        <v>78</v>
      </c>
      <c r="B6" s="7" t="s">
        <v>79</v>
      </c>
      <c r="C6" s="6" t="s">
        <v>16</v>
      </c>
      <c r="D6" s="7" t="s">
        <v>81</v>
      </c>
      <c r="E6" s="6">
        <v>3</v>
      </c>
      <c r="F6" s="6">
        <v>654</v>
      </c>
      <c r="G6" s="10">
        <v>10843</v>
      </c>
      <c r="H6" s="6">
        <v>1</v>
      </c>
      <c r="I6" s="6">
        <v>6</v>
      </c>
      <c r="J6" s="1">
        <f t="shared" si="0"/>
        <v>13</v>
      </c>
      <c r="K6" s="1">
        <f t="shared" si="1"/>
        <v>-6652</v>
      </c>
    </row>
    <row r="7" spans="1:12">
      <c r="A7" s="6" t="s">
        <v>78</v>
      </c>
      <c r="B7" s="7" t="s">
        <v>79</v>
      </c>
      <c r="C7" s="6" t="s">
        <v>10</v>
      </c>
      <c r="D7" s="7" t="s">
        <v>80</v>
      </c>
      <c r="E7" s="6">
        <v>4</v>
      </c>
      <c r="F7" s="6">
        <v>652</v>
      </c>
      <c r="G7" s="10">
        <v>11628</v>
      </c>
      <c r="H7" s="6">
        <v>1</v>
      </c>
      <c r="I7" s="6">
        <v>7</v>
      </c>
      <c r="J7" s="1">
        <f t="shared" si="0"/>
        <v>11</v>
      </c>
      <c r="K7" s="1">
        <f t="shared" si="1"/>
        <v>-5867</v>
      </c>
    </row>
    <row r="8" spans="1:12">
      <c r="A8" s="6" t="s">
        <v>78</v>
      </c>
      <c r="B8" s="7" t="s">
        <v>79</v>
      </c>
      <c r="C8" s="6" t="s">
        <v>18</v>
      </c>
      <c r="D8" s="7" t="s">
        <v>8</v>
      </c>
      <c r="E8" s="6">
        <v>4</v>
      </c>
      <c r="F8" s="6">
        <v>652</v>
      </c>
      <c r="G8" s="10">
        <v>11885</v>
      </c>
      <c r="H8" s="6">
        <v>1</v>
      </c>
      <c r="I8" s="6">
        <v>8</v>
      </c>
      <c r="J8" s="1">
        <f t="shared" si="0"/>
        <v>11</v>
      </c>
      <c r="K8" s="1">
        <f t="shared" si="1"/>
        <v>-5610</v>
      </c>
    </row>
    <row r="9" spans="1:12">
      <c r="A9" s="6" t="s">
        <v>94</v>
      </c>
      <c r="B9" s="7" t="s">
        <v>95</v>
      </c>
      <c r="C9" s="6" t="s">
        <v>14</v>
      </c>
      <c r="D9" s="7" t="s">
        <v>84</v>
      </c>
      <c r="E9" s="6">
        <v>4</v>
      </c>
      <c r="F9" s="6">
        <v>653</v>
      </c>
      <c r="G9" s="10">
        <v>11150</v>
      </c>
      <c r="H9" s="6">
        <v>1</v>
      </c>
      <c r="I9" s="6">
        <v>5</v>
      </c>
      <c r="J9" s="1">
        <f>F9-641</f>
        <v>12</v>
      </c>
      <c r="K9" s="1">
        <f>G9-17495</f>
        <v>-6345</v>
      </c>
    </row>
    <row r="10" spans="1:12" s="17" customFormat="1">
      <c r="A10" s="13" t="s">
        <v>94</v>
      </c>
      <c r="B10" s="14" t="s">
        <v>95</v>
      </c>
      <c r="C10" s="13" t="s">
        <v>22</v>
      </c>
      <c r="D10" s="14" t="s">
        <v>44</v>
      </c>
      <c r="E10" s="13">
        <v>3</v>
      </c>
      <c r="F10" s="13">
        <v>651</v>
      </c>
      <c r="G10" s="15">
        <v>12201</v>
      </c>
      <c r="H10" s="13">
        <v>1</v>
      </c>
      <c r="I10" s="13">
        <v>9</v>
      </c>
      <c r="J10" s="16">
        <f t="shared" si="0"/>
        <v>10</v>
      </c>
      <c r="K10" s="16">
        <f t="shared" si="1"/>
        <v>-5294</v>
      </c>
    </row>
    <row r="11" spans="1:12">
      <c r="A11" s="6" t="s">
        <v>88</v>
      </c>
      <c r="B11" s="7" t="s">
        <v>89</v>
      </c>
      <c r="C11" s="6" t="s">
        <v>12</v>
      </c>
      <c r="D11" s="7" t="s">
        <v>92</v>
      </c>
      <c r="E11" s="6">
        <v>23</v>
      </c>
      <c r="F11" s="6">
        <v>650</v>
      </c>
      <c r="G11" s="10">
        <v>12494</v>
      </c>
      <c r="H11" s="6">
        <v>1</v>
      </c>
      <c r="I11" s="6">
        <v>10</v>
      </c>
      <c r="J11" s="1">
        <f t="shared" si="0"/>
        <v>9</v>
      </c>
      <c r="K11" s="1">
        <f t="shared" si="1"/>
        <v>-5001</v>
      </c>
    </row>
    <row r="12" spans="1:12">
      <c r="A12" s="6" t="s">
        <v>88</v>
      </c>
      <c r="B12" s="7" t="s">
        <v>89</v>
      </c>
      <c r="C12" s="6" t="s">
        <v>19</v>
      </c>
      <c r="D12" s="7" t="s">
        <v>42</v>
      </c>
      <c r="E12" s="6">
        <v>17</v>
      </c>
      <c r="F12" s="6">
        <v>650</v>
      </c>
      <c r="G12" s="10">
        <v>12877</v>
      </c>
      <c r="H12" s="6">
        <v>1</v>
      </c>
      <c r="I12" s="6">
        <v>11</v>
      </c>
      <c r="J12" s="1">
        <f t="shared" si="0"/>
        <v>9</v>
      </c>
      <c r="K12" s="1">
        <f t="shared" si="1"/>
        <v>-4618</v>
      </c>
    </row>
    <row r="13" spans="1:12">
      <c r="A13" s="6" t="s">
        <v>88</v>
      </c>
      <c r="B13" s="7" t="s">
        <v>89</v>
      </c>
      <c r="C13" s="6" t="s">
        <v>20</v>
      </c>
      <c r="D13" s="7" t="s">
        <v>46</v>
      </c>
      <c r="E13" s="6">
        <v>6</v>
      </c>
      <c r="F13" s="6">
        <v>650</v>
      </c>
      <c r="G13" s="10">
        <v>12879</v>
      </c>
      <c r="H13" s="6">
        <v>1</v>
      </c>
      <c r="I13" s="6">
        <v>12</v>
      </c>
      <c r="J13" s="1">
        <f t="shared" si="0"/>
        <v>9</v>
      </c>
      <c r="K13" s="1">
        <f t="shared" si="1"/>
        <v>-4616</v>
      </c>
    </row>
    <row r="14" spans="1:12">
      <c r="A14" s="6" t="s">
        <v>88</v>
      </c>
      <c r="B14" s="7" t="s">
        <v>89</v>
      </c>
      <c r="C14" s="6" t="s">
        <v>22</v>
      </c>
      <c r="D14" s="7" t="s">
        <v>25</v>
      </c>
      <c r="E14" s="6">
        <v>8</v>
      </c>
      <c r="F14" s="6">
        <v>650</v>
      </c>
      <c r="G14" s="10">
        <v>12970</v>
      </c>
      <c r="H14" s="6">
        <v>1</v>
      </c>
      <c r="I14" s="6">
        <v>13</v>
      </c>
      <c r="J14" s="1">
        <f t="shared" si="0"/>
        <v>9</v>
      </c>
      <c r="K14" s="1">
        <f t="shared" si="1"/>
        <v>-4525</v>
      </c>
    </row>
    <row r="15" spans="1:12">
      <c r="A15" s="6" t="s">
        <v>88</v>
      </c>
      <c r="B15" s="7" t="s">
        <v>89</v>
      </c>
      <c r="C15" s="6" t="s">
        <v>9</v>
      </c>
      <c r="D15" s="7" t="s">
        <v>91</v>
      </c>
      <c r="E15" s="6">
        <v>30</v>
      </c>
      <c r="F15" s="6">
        <v>649</v>
      </c>
      <c r="G15" s="10">
        <v>13308</v>
      </c>
      <c r="H15" s="6">
        <v>1</v>
      </c>
      <c r="I15" s="6">
        <v>14</v>
      </c>
      <c r="J15" s="1">
        <f t="shared" si="0"/>
        <v>8</v>
      </c>
      <c r="K15" s="1">
        <f t="shared" si="1"/>
        <v>-4187</v>
      </c>
    </row>
    <row r="16" spans="1:12">
      <c r="A16" s="6" t="s">
        <v>88</v>
      </c>
      <c r="B16" s="7" t="s">
        <v>89</v>
      </c>
      <c r="C16" s="6" t="s">
        <v>18</v>
      </c>
      <c r="D16" s="7" t="s">
        <v>44</v>
      </c>
      <c r="E16" s="6">
        <v>10</v>
      </c>
      <c r="F16" s="6">
        <v>649</v>
      </c>
      <c r="G16" s="10">
        <v>13386</v>
      </c>
      <c r="H16" s="6">
        <v>1</v>
      </c>
      <c r="I16" s="6">
        <v>15</v>
      </c>
      <c r="J16" s="1">
        <f t="shared" si="0"/>
        <v>8</v>
      </c>
      <c r="K16" s="1">
        <f t="shared" si="1"/>
        <v>-4109</v>
      </c>
    </row>
    <row r="17" spans="1:11">
      <c r="A17" s="6" t="s">
        <v>88</v>
      </c>
      <c r="B17" s="7" t="s">
        <v>89</v>
      </c>
      <c r="C17" s="6" t="s">
        <v>7</v>
      </c>
      <c r="D17" s="7" t="s">
        <v>90</v>
      </c>
      <c r="E17" s="6">
        <v>20</v>
      </c>
      <c r="F17" s="6">
        <v>648</v>
      </c>
      <c r="G17" s="10">
        <v>13532</v>
      </c>
      <c r="H17" s="6">
        <v>1</v>
      </c>
      <c r="I17" s="6">
        <v>16</v>
      </c>
      <c r="J17" s="1">
        <f t="shared" si="0"/>
        <v>7</v>
      </c>
      <c r="K17" s="1">
        <f t="shared" si="1"/>
        <v>-3963</v>
      </c>
    </row>
    <row r="18" spans="1:11">
      <c r="A18" s="6" t="s">
        <v>94</v>
      </c>
      <c r="B18" s="7" t="s">
        <v>95</v>
      </c>
      <c r="C18" s="6" t="s">
        <v>23</v>
      </c>
      <c r="D18" s="7" t="s">
        <v>31</v>
      </c>
      <c r="E18" s="6">
        <v>3</v>
      </c>
      <c r="F18" s="6">
        <v>648</v>
      </c>
      <c r="G18" s="10">
        <v>13748</v>
      </c>
      <c r="H18" s="6">
        <v>1</v>
      </c>
      <c r="I18" s="6">
        <v>17</v>
      </c>
      <c r="J18" s="1">
        <f t="shared" si="0"/>
        <v>7</v>
      </c>
      <c r="K18" s="1">
        <f t="shared" si="1"/>
        <v>-3747</v>
      </c>
    </row>
    <row r="19" spans="1:11">
      <c r="A19" s="6" t="s">
        <v>88</v>
      </c>
      <c r="B19" s="7" t="s">
        <v>89</v>
      </c>
      <c r="C19" s="6" t="s">
        <v>41</v>
      </c>
      <c r="D19" s="7" t="s">
        <v>57</v>
      </c>
      <c r="E19" s="6">
        <v>5</v>
      </c>
      <c r="F19" s="6">
        <v>647</v>
      </c>
      <c r="G19" s="10">
        <v>14493</v>
      </c>
      <c r="H19" s="6">
        <v>1</v>
      </c>
      <c r="I19" s="6">
        <v>18</v>
      </c>
      <c r="J19" s="1">
        <f t="shared" si="0"/>
        <v>6</v>
      </c>
      <c r="K19" s="1">
        <f t="shared" si="1"/>
        <v>-3002</v>
      </c>
    </row>
    <row r="20" spans="1:11">
      <c r="A20" s="6" t="s">
        <v>88</v>
      </c>
      <c r="B20" s="7" t="s">
        <v>89</v>
      </c>
      <c r="C20" s="6" t="s">
        <v>28</v>
      </c>
      <c r="D20" s="7" t="s">
        <v>30</v>
      </c>
      <c r="E20" s="6">
        <v>14</v>
      </c>
      <c r="F20" s="6">
        <v>646</v>
      </c>
      <c r="G20" s="10">
        <v>14634</v>
      </c>
      <c r="H20" s="6">
        <v>1</v>
      </c>
      <c r="I20" s="6">
        <v>19</v>
      </c>
      <c r="J20" s="1">
        <f t="shared" si="0"/>
        <v>5</v>
      </c>
      <c r="K20" s="1">
        <f t="shared" si="1"/>
        <v>-2861</v>
      </c>
    </row>
    <row r="21" spans="1:11">
      <c r="A21" s="6" t="s">
        <v>88</v>
      </c>
      <c r="B21" s="7" t="s">
        <v>89</v>
      </c>
      <c r="C21" s="6" t="s">
        <v>11</v>
      </c>
      <c r="D21" s="7" t="s">
        <v>31</v>
      </c>
      <c r="E21" s="6">
        <v>16</v>
      </c>
      <c r="F21" s="6">
        <v>645</v>
      </c>
      <c r="G21" s="10">
        <v>15198</v>
      </c>
      <c r="H21" s="6">
        <v>1</v>
      </c>
      <c r="I21" s="6">
        <v>20</v>
      </c>
      <c r="J21" s="1">
        <f t="shared" si="0"/>
        <v>4</v>
      </c>
      <c r="K21" s="1">
        <f t="shared" si="1"/>
        <v>-2297</v>
      </c>
    </row>
    <row r="22" spans="1:11">
      <c r="A22" s="6" t="s">
        <v>88</v>
      </c>
      <c r="B22" s="7" t="s">
        <v>89</v>
      </c>
      <c r="C22" s="6" t="s">
        <v>23</v>
      </c>
      <c r="D22" s="7" t="s">
        <v>93</v>
      </c>
      <c r="E22" s="6">
        <v>8</v>
      </c>
      <c r="F22" s="6">
        <v>645</v>
      </c>
      <c r="G22" s="10">
        <v>15292</v>
      </c>
      <c r="H22" s="6">
        <v>1</v>
      </c>
      <c r="I22" s="6">
        <v>21</v>
      </c>
      <c r="J22" s="1">
        <f t="shared" si="0"/>
        <v>4</v>
      </c>
      <c r="K22" s="1">
        <f t="shared" si="1"/>
        <v>-2203</v>
      </c>
    </row>
    <row r="23" spans="1:11">
      <c r="A23" s="13" t="s">
        <v>82</v>
      </c>
      <c r="B23" s="14" t="s">
        <v>83</v>
      </c>
      <c r="C23" s="13" t="s">
        <v>22</v>
      </c>
      <c r="D23" s="14" t="s">
        <v>74</v>
      </c>
      <c r="E23" s="13">
        <v>2</v>
      </c>
      <c r="F23" s="13">
        <v>650</v>
      </c>
      <c r="G23" s="15">
        <v>12544</v>
      </c>
      <c r="H23" s="13">
        <v>1</v>
      </c>
      <c r="I23" s="13">
        <v>22</v>
      </c>
      <c r="J23" s="16">
        <f t="shared" si="0"/>
        <v>9</v>
      </c>
      <c r="K23" s="16">
        <f t="shared" si="1"/>
        <v>-4951</v>
      </c>
    </row>
    <row r="24" spans="1:11">
      <c r="A24" s="6" t="s">
        <v>82</v>
      </c>
      <c r="B24" s="7" t="s">
        <v>83</v>
      </c>
      <c r="C24" s="6" t="s">
        <v>12</v>
      </c>
      <c r="D24" s="7" t="s">
        <v>32</v>
      </c>
      <c r="E24" s="6">
        <v>10</v>
      </c>
      <c r="F24" s="6">
        <v>649</v>
      </c>
      <c r="G24" s="10">
        <v>13116</v>
      </c>
      <c r="H24" s="6">
        <v>1</v>
      </c>
      <c r="I24" s="6">
        <v>23</v>
      </c>
      <c r="J24" s="1">
        <f t="shared" si="0"/>
        <v>8</v>
      </c>
      <c r="K24" s="1">
        <f t="shared" si="1"/>
        <v>-4379</v>
      </c>
    </row>
    <row r="25" spans="1:11">
      <c r="A25" s="6" t="s">
        <v>82</v>
      </c>
      <c r="B25" s="7" t="s">
        <v>83</v>
      </c>
      <c r="C25" s="6" t="s">
        <v>13</v>
      </c>
      <c r="D25" s="7" t="s">
        <v>85</v>
      </c>
      <c r="E25" s="6">
        <v>9</v>
      </c>
      <c r="F25" s="6">
        <v>648</v>
      </c>
      <c r="G25" s="10">
        <v>13859</v>
      </c>
      <c r="H25" s="6">
        <v>1</v>
      </c>
      <c r="I25" s="6">
        <v>24</v>
      </c>
      <c r="J25" s="1">
        <f t="shared" si="0"/>
        <v>7</v>
      </c>
      <c r="K25" s="1">
        <f t="shared" si="1"/>
        <v>-3636</v>
      </c>
    </row>
    <row r="26" spans="1:11">
      <c r="A26" s="6" t="s">
        <v>75</v>
      </c>
      <c r="B26" s="7" t="s">
        <v>76</v>
      </c>
      <c r="C26" s="6" t="s">
        <v>11</v>
      </c>
      <c r="D26" s="7" t="s">
        <v>36</v>
      </c>
      <c r="E26" s="6">
        <v>14</v>
      </c>
      <c r="F26" s="6">
        <v>647</v>
      </c>
      <c r="G26" s="10">
        <v>14441</v>
      </c>
      <c r="H26" s="6">
        <v>1</v>
      </c>
      <c r="I26" s="6">
        <v>25</v>
      </c>
      <c r="J26" s="1">
        <f t="shared" si="0"/>
        <v>6</v>
      </c>
      <c r="K26" s="1">
        <f t="shared" si="1"/>
        <v>-3054</v>
      </c>
    </row>
    <row r="27" spans="1:11">
      <c r="A27" s="6" t="s">
        <v>75</v>
      </c>
      <c r="B27" s="7" t="s">
        <v>76</v>
      </c>
      <c r="C27" s="6" t="s">
        <v>10</v>
      </c>
      <c r="D27" s="7" t="s">
        <v>77</v>
      </c>
      <c r="E27" s="6">
        <v>23</v>
      </c>
      <c r="F27" s="6">
        <v>643</v>
      </c>
      <c r="G27" s="8">
        <v>16695</v>
      </c>
      <c r="H27" s="6">
        <v>1</v>
      </c>
      <c r="I27" s="6">
        <v>26</v>
      </c>
      <c r="J27" s="1">
        <f t="shared" si="0"/>
        <v>2</v>
      </c>
      <c r="K27" s="1">
        <f t="shared" si="1"/>
        <v>-800</v>
      </c>
    </row>
    <row r="28" spans="1:11">
      <c r="A28" s="6" t="s">
        <v>68</v>
      </c>
      <c r="B28" s="7" t="s">
        <v>69</v>
      </c>
      <c r="C28" s="6">
        <v>9</v>
      </c>
      <c r="D28" s="12" t="s">
        <v>99</v>
      </c>
      <c r="E28" s="6"/>
      <c r="F28" s="6">
        <v>643</v>
      </c>
      <c r="G28" s="8">
        <v>15496</v>
      </c>
      <c r="H28" s="6">
        <v>1</v>
      </c>
      <c r="I28" s="6">
        <v>27</v>
      </c>
      <c r="J28" s="1">
        <f t="shared" si="0"/>
        <v>2</v>
      </c>
      <c r="K28" s="1">
        <f t="shared" si="1"/>
        <v>-1999</v>
      </c>
    </row>
    <row r="29" spans="1:11">
      <c r="A29" s="6" t="s">
        <v>68</v>
      </c>
      <c r="B29" s="7" t="s">
        <v>69</v>
      </c>
      <c r="C29" s="6">
        <v>10</v>
      </c>
      <c r="D29" s="12" t="s">
        <v>100</v>
      </c>
      <c r="E29" s="6"/>
      <c r="F29" s="6">
        <v>643</v>
      </c>
      <c r="G29" s="8">
        <v>15496</v>
      </c>
      <c r="H29" s="6">
        <v>1</v>
      </c>
      <c r="I29" s="6">
        <v>28</v>
      </c>
      <c r="J29" s="1">
        <f t="shared" si="0"/>
        <v>2</v>
      </c>
      <c r="K29" s="1">
        <f t="shared" si="1"/>
        <v>-1999</v>
      </c>
    </row>
    <row r="30" spans="1:11">
      <c r="A30" s="6" t="s">
        <v>68</v>
      </c>
      <c r="B30" s="7" t="s">
        <v>69</v>
      </c>
      <c r="C30" s="6" t="s">
        <v>17</v>
      </c>
      <c r="D30" s="7" t="s">
        <v>54</v>
      </c>
      <c r="E30" s="6">
        <v>303</v>
      </c>
      <c r="F30" s="6">
        <v>639</v>
      </c>
      <c r="G30" s="9">
        <v>19238</v>
      </c>
      <c r="H30" s="6">
        <v>1</v>
      </c>
      <c r="I30" s="6">
        <v>29</v>
      </c>
      <c r="J30" s="1">
        <f t="shared" si="0"/>
        <v>-2</v>
      </c>
      <c r="K30" s="1">
        <f t="shared" si="1"/>
        <v>1743</v>
      </c>
    </row>
    <row r="31" spans="1:11">
      <c r="A31" s="6" t="s">
        <v>50</v>
      </c>
      <c r="B31" s="7" t="s">
        <v>51</v>
      </c>
      <c r="C31" s="6" t="s">
        <v>7</v>
      </c>
      <c r="D31" s="7" t="s">
        <v>52</v>
      </c>
      <c r="E31" s="6">
        <v>20</v>
      </c>
      <c r="F31" s="6">
        <v>637</v>
      </c>
      <c r="G31" s="9">
        <v>20333</v>
      </c>
      <c r="H31" s="6">
        <v>1</v>
      </c>
      <c r="I31" s="6">
        <v>30</v>
      </c>
      <c r="J31" s="1">
        <f t="shared" si="0"/>
        <v>-4</v>
      </c>
      <c r="K31" s="1">
        <f t="shared" si="1"/>
        <v>2838</v>
      </c>
    </row>
    <row r="32" spans="1:11">
      <c r="A32" s="6" t="s">
        <v>68</v>
      </c>
      <c r="B32" s="7" t="s">
        <v>69</v>
      </c>
      <c r="C32" s="6" t="s">
        <v>20</v>
      </c>
      <c r="D32" s="7" t="s">
        <v>72</v>
      </c>
      <c r="E32" s="6">
        <v>54</v>
      </c>
      <c r="F32" s="6">
        <v>635</v>
      </c>
      <c r="G32" s="9">
        <v>22116</v>
      </c>
      <c r="H32" s="6">
        <v>1</v>
      </c>
      <c r="I32" s="6">
        <v>31</v>
      </c>
      <c r="J32" s="1">
        <f t="shared" si="0"/>
        <v>-6</v>
      </c>
      <c r="K32" s="1">
        <f t="shared" si="1"/>
        <v>4621</v>
      </c>
    </row>
    <row r="33" spans="1:11">
      <c r="A33" s="6" t="s">
        <v>68</v>
      </c>
      <c r="B33" s="7" t="s">
        <v>69</v>
      </c>
      <c r="C33" s="6" t="s">
        <v>18</v>
      </c>
      <c r="D33" s="7" t="s">
        <v>70</v>
      </c>
      <c r="E33" s="6">
        <v>52</v>
      </c>
      <c r="F33" s="6">
        <v>629</v>
      </c>
      <c r="G33" s="9">
        <v>26369</v>
      </c>
      <c r="H33" s="6">
        <v>1</v>
      </c>
      <c r="I33" s="6">
        <v>32</v>
      </c>
      <c r="J33" s="1">
        <f t="shared" si="0"/>
        <v>-12</v>
      </c>
      <c r="K33" s="1">
        <f t="shared" si="1"/>
        <v>8874</v>
      </c>
    </row>
    <row r="34" spans="1:11">
      <c r="A34" s="6" t="s">
        <v>68</v>
      </c>
      <c r="B34" s="7" t="s">
        <v>69</v>
      </c>
      <c r="C34" s="6" t="s">
        <v>19</v>
      </c>
      <c r="D34" s="7" t="s">
        <v>71</v>
      </c>
      <c r="E34" s="6">
        <v>54</v>
      </c>
      <c r="F34" s="6">
        <v>627</v>
      </c>
      <c r="G34" s="9">
        <v>27973</v>
      </c>
      <c r="H34" s="6">
        <v>1</v>
      </c>
      <c r="I34" s="6">
        <v>33</v>
      </c>
      <c r="J34" s="1">
        <f t="shared" si="0"/>
        <v>-14</v>
      </c>
      <c r="K34" s="1">
        <f t="shared" si="1"/>
        <v>10478</v>
      </c>
    </row>
    <row r="35" spans="1:11">
      <c r="A35" s="6" t="s">
        <v>50</v>
      </c>
      <c r="B35" s="7" t="s">
        <v>51</v>
      </c>
      <c r="C35" s="6" t="s">
        <v>48</v>
      </c>
      <c r="D35" s="7" t="s">
        <v>55</v>
      </c>
      <c r="E35" s="6">
        <v>21</v>
      </c>
      <c r="F35" s="6">
        <v>626</v>
      </c>
      <c r="G35" s="9">
        <v>28458</v>
      </c>
      <c r="H35" s="6">
        <v>1</v>
      </c>
      <c r="I35" s="6">
        <v>34</v>
      </c>
      <c r="J35" s="1">
        <f t="shared" si="0"/>
        <v>-15</v>
      </c>
      <c r="K35" s="1">
        <f t="shared" si="1"/>
        <v>10963</v>
      </c>
    </row>
    <row r="36" spans="1:11">
      <c r="A36" s="6" t="s">
        <v>68</v>
      </c>
      <c r="B36" s="7" t="s">
        <v>69</v>
      </c>
      <c r="C36" s="6" t="s">
        <v>24</v>
      </c>
      <c r="D36" s="7" t="s">
        <v>73</v>
      </c>
      <c r="E36" s="6">
        <v>27</v>
      </c>
      <c r="F36" s="6">
        <v>621</v>
      </c>
      <c r="G36" s="9">
        <v>32528</v>
      </c>
      <c r="H36" s="6">
        <v>1</v>
      </c>
      <c r="I36" s="6">
        <v>35</v>
      </c>
      <c r="J36" s="1">
        <f t="shared" si="0"/>
        <v>-20</v>
      </c>
      <c r="K36" s="1">
        <f t="shared" si="1"/>
        <v>15033</v>
      </c>
    </row>
    <row r="37" spans="1:11">
      <c r="A37" s="6" t="s">
        <v>50</v>
      </c>
      <c r="B37" s="7" t="s">
        <v>51</v>
      </c>
      <c r="C37" s="6" t="s">
        <v>47</v>
      </c>
      <c r="D37" s="7" t="s">
        <v>54</v>
      </c>
      <c r="E37" s="6">
        <v>180</v>
      </c>
      <c r="F37" s="6">
        <v>621</v>
      </c>
      <c r="G37" s="9">
        <v>32839</v>
      </c>
      <c r="H37" s="6">
        <v>1</v>
      </c>
      <c r="I37" s="6">
        <v>36</v>
      </c>
      <c r="J37" s="1">
        <f t="shared" si="0"/>
        <v>-20</v>
      </c>
      <c r="K37" s="1">
        <f t="shared" si="1"/>
        <v>15344</v>
      </c>
    </row>
    <row r="38" spans="1:11">
      <c r="A38" s="6" t="s">
        <v>26</v>
      </c>
      <c r="B38" s="7" t="s">
        <v>27</v>
      </c>
      <c r="C38" s="6" t="s">
        <v>23</v>
      </c>
      <c r="D38" s="7" t="s">
        <v>37</v>
      </c>
      <c r="E38" s="6">
        <v>25</v>
      </c>
      <c r="F38" s="6">
        <v>642</v>
      </c>
      <c r="G38" s="8">
        <v>17176</v>
      </c>
      <c r="H38" s="6">
        <v>1</v>
      </c>
      <c r="I38" s="6">
        <v>37</v>
      </c>
      <c r="J38" s="1">
        <f t="shared" si="0"/>
        <v>1</v>
      </c>
      <c r="K38" s="1">
        <f t="shared" si="1"/>
        <v>-319</v>
      </c>
    </row>
    <row r="39" spans="1:11">
      <c r="A39" s="6" t="s">
        <v>58</v>
      </c>
      <c r="B39" s="7" t="s">
        <v>59</v>
      </c>
      <c r="C39" s="6" t="s">
        <v>28</v>
      </c>
      <c r="D39" s="7" t="s">
        <v>36</v>
      </c>
      <c r="E39" s="6">
        <v>272</v>
      </c>
      <c r="F39" s="6">
        <v>641</v>
      </c>
      <c r="G39" s="8">
        <v>17660</v>
      </c>
      <c r="H39" s="6">
        <v>1</v>
      </c>
      <c r="I39" s="6">
        <v>38</v>
      </c>
      <c r="J39" s="1">
        <f t="shared" si="0"/>
        <v>0</v>
      </c>
      <c r="K39" s="1">
        <f t="shared" si="1"/>
        <v>165</v>
      </c>
    </row>
    <row r="40" spans="1:11">
      <c r="A40" s="6" t="s">
        <v>58</v>
      </c>
      <c r="B40" s="7" t="s">
        <v>59</v>
      </c>
      <c r="C40" s="6" t="s">
        <v>40</v>
      </c>
      <c r="D40" s="7" t="s">
        <v>67</v>
      </c>
      <c r="E40" s="6">
        <v>20</v>
      </c>
      <c r="F40" s="6">
        <v>641</v>
      </c>
      <c r="G40" s="8">
        <v>17847</v>
      </c>
      <c r="H40" s="6">
        <v>1</v>
      </c>
      <c r="I40" s="6">
        <v>39</v>
      </c>
      <c r="J40" s="1">
        <f t="shared" si="0"/>
        <v>0</v>
      </c>
      <c r="K40" s="1">
        <f t="shared" si="1"/>
        <v>352</v>
      </c>
    </row>
    <row r="41" spans="1:11">
      <c r="A41" s="6" t="s">
        <v>58</v>
      </c>
      <c r="B41" s="7" t="s">
        <v>59</v>
      </c>
      <c r="C41" s="6" t="s">
        <v>9</v>
      </c>
      <c r="D41" s="7" t="s">
        <v>60</v>
      </c>
      <c r="E41" s="6">
        <v>160</v>
      </c>
      <c r="F41" s="6">
        <v>637</v>
      </c>
      <c r="G41" s="9">
        <v>20813</v>
      </c>
      <c r="H41" s="6">
        <v>1</v>
      </c>
      <c r="I41" s="6">
        <v>40</v>
      </c>
      <c r="J41" s="1">
        <f t="shared" si="0"/>
        <v>-4</v>
      </c>
      <c r="K41" s="1">
        <f t="shared" si="1"/>
        <v>3318</v>
      </c>
    </row>
    <row r="42" spans="1:11">
      <c r="A42" s="6" t="s">
        <v>58</v>
      </c>
      <c r="B42" s="7" t="s">
        <v>59</v>
      </c>
      <c r="C42" s="6" t="s">
        <v>10</v>
      </c>
      <c r="D42" s="7" t="s">
        <v>62</v>
      </c>
      <c r="E42" s="6">
        <v>20</v>
      </c>
      <c r="F42" s="6">
        <v>636</v>
      </c>
      <c r="G42" s="9">
        <v>21499</v>
      </c>
      <c r="H42" s="6">
        <v>1</v>
      </c>
      <c r="I42" s="6">
        <v>41</v>
      </c>
      <c r="J42" s="1">
        <f t="shared" si="0"/>
        <v>-5</v>
      </c>
      <c r="K42" s="1">
        <f t="shared" si="1"/>
        <v>4004</v>
      </c>
    </row>
    <row r="43" spans="1:11">
      <c r="A43" s="6" t="s">
        <v>58</v>
      </c>
      <c r="B43" s="7" t="s">
        <v>59</v>
      </c>
      <c r="C43" s="6" t="s">
        <v>39</v>
      </c>
      <c r="D43" s="7" t="s">
        <v>66</v>
      </c>
      <c r="E43" s="6">
        <v>88</v>
      </c>
      <c r="F43" s="6">
        <v>635</v>
      </c>
      <c r="G43" s="9">
        <v>21697</v>
      </c>
      <c r="H43" s="6">
        <v>1</v>
      </c>
      <c r="I43" s="6">
        <v>42</v>
      </c>
      <c r="J43" s="1">
        <f t="shared" si="0"/>
        <v>-6</v>
      </c>
      <c r="K43" s="1">
        <f t="shared" si="1"/>
        <v>4202</v>
      </c>
    </row>
    <row r="44" spans="1:11">
      <c r="A44" s="6" t="s">
        <v>58</v>
      </c>
      <c r="B44" s="7" t="s">
        <v>59</v>
      </c>
      <c r="C44" s="6" t="s">
        <v>12</v>
      </c>
      <c r="D44" s="7" t="s">
        <v>64</v>
      </c>
      <c r="E44" s="6">
        <v>35</v>
      </c>
      <c r="F44" s="6">
        <v>635</v>
      </c>
      <c r="G44" s="9">
        <v>21864</v>
      </c>
      <c r="H44" s="6">
        <v>1</v>
      </c>
      <c r="I44" s="6">
        <v>43</v>
      </c>
      <c r="J44" s="1">
        <f t="shared" si="0"/>
        <v>-6</v>
      </c>
      <c r="K44" s="1">
        <f t="shared" si="1"/>
        <v>4369</v>
      </c>
    </row>
    <row r="45" spans="1:11">
      <c r="A45" s="6" t="s">
        <v>26</v>
      </c>
      <c r="B45" s="7" t="s">
        <v>27</v>
      </c>
      <c r="C45" s="6" t="s">
        <v>22</v>
      </c>
      <c r="D45" s="7" t="s">
        <v>36</v>
      </c>
      <c r="E45" s="6">
        <v>194</v>
      </c>
      <c r="F45" s="6">
        <v>634</v>
      </c>
      <c r="G45" s="9">
        <v>22453</v>
      </c>
      <c r="H45" s="6">
        <v>1</v>
      </c>
      <c r="I45" s="6">
        <v>44</v>
      </c>
      <c r="J45" s="1">
        <f t="shared" si="0"/>
        <v>-7</v>
      </c>
      <c r="K45" s="1">
        <f t="shared" si="1"/>
        <v>4958</v>
      </c>
    </row>
    <row r="46" spans="1:11">
      <c r="A46" s="6" t="s">
        <v>26</v>
      </c>
      <c r="B46" s="7" t="s">
        <v>27</v>
      </c>
      <c r="C46" s="6" t="s">
        <v>24</v>
      </c>
      <c r="D46" s="7" t="s">
        <v>38</v>
      </c>
      <c r="E46" s="6">
        <v>16</v>
      </c>
      <c r="F46" s="6">
        <v>634</v>
      </c>
      <c r="G46" s="9">
        <v>22469</v>
      </c>
      <c r="H46" s="6">
        <v>1</v>
      </c>
      <c r="I46" s="6">
        <v>45</v>
      </c>
      <c r="J46" s="1">
        <f t="shared" si="0"/>
        <v>-7</v>
      </c>
      <c r="K46" s="1">
        <f t="shared" si="1"/>
        <v>4974</v>
      </c>
    </row>
    <row r="47" spans="1:11">
      <c r="A47" s="6" t="s">
        <v>58</v>
      </c>
      <c r="B47" s="7" t="s">
        <v>59</v>
      </c>
      <c r="C47" s="6" t="s">
        <v>29</v>
      </c>
      <c r="D47" s="7" t="s">
        <v>61</v>
      </c>
      <c r="E47" s="6">
        <v>242</v>
      </c>
      <c r="F47" s="6">
        <v>631</v>
      </c>
      <c r="G47" s="9">
        <v>24573</v>
      </c>
      <c r="H47" s="6">
        <v>1</v>
      </c>
      <c r="I47" s="6">
        <v>46</v>
      </c>
      <c r="J47" s="1">
        <f t="shared" si="0"/>
        <v>-10</v>
      </c>
      <c r="K47" s="1">
        <f t="shared" si="1"/>
        <v>7078</v>
      </c>
    </row>
    <row r="48" spans="1:11">
      <c r="A48" s="6" t="s">
        <v>58</v>
      </c>
      <c r="B48" s="7" t="s">
        <v>59</v>
      </c>
      <c r="C48" s="6" t="s">
        <v>11</v>
      </c>
      <c r="D48" s="7" t="s">
        <v>63</v>
      </c>
      <c r="E48" s="6">
        <v>70</v>
      </c>
      <c r="F48" s="6">
        <v>631</v>
      </c>
      <c r="G48" s="9">
        <v>24580</v>
      </c>
      <c r="H48" s="6">
        <v>1</v>
      </c>
      <c r="I48" s="6">
        <v>47</v>
      </c>
      <c r="J48" s="1">
        <f t="shared" si="0"/>
        <v>-10</v>
      </c>
      <c r="K48" s="1">
        <f t="shared" si="1"/>
        <v>7085</v>
      </c>
    </row>
    <row r="49" spans="1:11">
      <c r="A49" s="6" t="s">
        <v>26</v>
      </c>
      <c r="B49" s="7" t="s">
        <v>27</v>
      </c>
      <c r="C49" s="6" t="s">
        <v>21</v>
      </c>
      <c r="D49" s="7" t="s">
        <v>35</v>
      </c>
      <c r="E49" s="6">
        <v>84</v>
      </c>
      <c r="F49" s="6">
        <v>631</v>
      </c>
      <c r="G49" s="9">
        <v>24859</v>
      </c>
      <c r="H49" s="6">
        <v>1</v>
      </c>
      <c r="I49" s="6">
        <v>48</v>
      </c>
      <c r="J49" s="1">
        <f t="shared" si="0"/>
        <v>-10</v>
      </c>
      <c r="K49" s="1">
        <f t="shared" si="1"/>
        <v>7364</v>
      </c>
    </row>
    <row r="50" spans="1:11">
      <c r="A50" s="6" t="s">
        <v>26</v>
      </c>
      <c r="B50" s="7" t="s">
        <v>27</v>
      </c>
      <c r="C50" s="6" t="s">
        <v>19</v>
      </c>
      <c r="D50" s="7" t="s">
        <v>33</v>
      </c>
      <c r="E50" s="6">
        <v>52</v>
      </c>
      <c r="F50" s="6">
        <v>629</v>
      </c>
      <c r="G50" s="9">
        <v>26078</v>
      </c>
      <c r="H50" s="6">
        <v>1</v>
      </c>
      <c r="I50" s="6">
        <v>49</v>
      </c>
      <c r="J50" s="1">
        <f t="shared" si="0"/>
        <v>-12</v>
      </c>
      <c r="K50" s="1">
        <f t="shared" si="1"/>
        <v>8583</v>
      </c>
    </row>
    <row r="51" spans="1:11">
      <c r="A51" s="6" t="s">
        <v>58</v>
      </c>
      <c r="B51" s="7" t="s">
        <v>59</v>
      </c>
      <c r="C51" s="6" t="s">
        <v>13</v>
      </c>
      <c r="D51" s="7" t="s">
        <v>65</v>
      </c>
      <c r="E51" s="6">
        <v>175</v>
      </c>
      <c r="F51" s="6">
        <v>627</v>
      </c>
      <c r="G51" s="9">
        <v>27690</v>
      </c>
      <c r="H51" s="6">
        <v>1</v>
      </c>
      <c r="I51" s="6">
        <v>50</v>
      </c>
      <c r="J51" s="1">
        <f t="shared" si="0"/>
        <v>-14</v>
      </c>
      <c r="K51" s="1">
        <f t="shared" si="1"/>
        <v>10195</v>
      </c>
    </row>
    <row r="52" spans="1:11">
      <c r="A52" s="6" t="s">
        <v>50</v>
      </c>
      <c r="B52" s="7" t="s">
        <v>51</v>
      </c>
      <c r="C52" s="6" t="s">
        <v>49</v>
      </c>
      <c r="D52" s="7" t="s">
        <v>56</v>
      </c>
      <c r="E52" s="6">
        <v>20</v>
      </c>
      <c r="F52" s="6">
        <v>637</v>
      </c>
      <c r="G52" s="9">
        <v>20337</v>
      </c>
      <c r="H52" s="6">
        <v>1</v>
      </c>
      <c r="I52" s="6">
        <v>51</v>
      </c>
      <c r="J52" s="1">
        <f t="shared" si="0"/>
        <v>-4</v>
      </c>
      <c r="K52" s="1">
        <f t="shared" si="1"/>
        <v>2842</v>
      </c>
    </row>
    <row r="53" spans="1:11">
      <c r="A53" s="6" t="s">
        <v>50</v>
      </c>
      <c r="B53" s="7" t="s">
        <v>51</v>
      </c>
      <c r="C53" s="6" t="s">
        <v>45</v>
      </c>
      <c r="D53" s="7" t="s">
        <v>53</v>
      </c>
      <c r="E53" s="6">
        <v>75</v>
      </c>
      <c r="F53" s="6">
        <v>627</v>
      </c>
      <c r="G53" s="9">
        <v>27664</v>
      </c>
      <c r="H53" s="6">
        <v>1</v>
      </c>
      <c r="I53" s="6">
        <v>52</v>
      </c>
      <c r="J53" s="1">
        <f t="shared" si="0"/>
        <v>-14</v>
      </c>
      <c r="K53" s="1">
        <f t="shared" si="1"/>
        <v>10169</v>
      </c>
    </row>
    <row r="54" spans="1:11">
      <c r="A54" s="6" t="s">
        <v>50</v>
      </c>
      <c r="B54" s="7" t="s">
        <v>51</v>
      </c>
      <c r="C54" s="6" t="s">
        <v>43</v>
      </c>
      <c r="D54" s="7" t="s">
        <v>35</v>
      </c>
      <c r="E54" s="6">
        <v>180</v>
      </c>
      <c r="F54" s="6">
        <v>620</v>
      </c>
      <c r="G54" s="9">
        <v>33433</v>
      </c>
      <c r="H54" s="6">
        <v>1</v>
      </c>
      <c r="I54" s="6">
        <v>53</v>
      </c>
      <c r="J54" s="1">
        <f t="shared" si="0"/>
        <v>-21</v>
      </c>
      <c r="K54" s="1">
        <f t="shared" si="1"/>
        <v>15938</v>
      </c>
    </row>
  </sheetData>
  <autoFilter ref="A1:I1" xr:uid="{3B73482E-C342-4959-B880-BB19789804F0}">
    <sortState xmlns:xlrd2="http://schemas.microsoft.com/office/spreadsheetml/2017/richdata2" ref="A2:I56">
      <sortCondition ref="G1"/>
    </sortState>
  </autoFilter>
  <conditionalFormatting sqref="J2:K54">
    <cfRule type="cellIs" dxfId="1" priority="1" operator="lessThanOrEqual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Xiaoling-Lily Guo (NSB)</dc:creator>
  <cp:lastModifiedBy>James Ma (NSB)</cp:lastModifiedBy>
  <dcterms:created xsi:type="dcterms:W3CDTF">2023-07-18T13:13:43Z</dcterms:created>
  <dcterms:modified xsi:type="dcterms:W3CDTF">2024-06-28T18:42:43Z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2052-10.8.0.6157</vt:lpwstr>
  </property>
</Properties>
</file>